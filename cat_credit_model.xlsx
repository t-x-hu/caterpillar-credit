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al" sheetId="1" r:id="rId1"/>
  </sheets>
  <calcPr calcId="124519" fullCalcOnLoad="1"/>
</workbook>
</file>

<file path=xl/sharedStrings.xml><?xml version="1.0" encoding="utf-8"?>
<sst xmlns="http://schemas.openxmlformats.org/spreadsheetml/2006/main" count="80" uniqueCount="71">
  <si>
    <t>Caterpillar Inc. (NYSE: CAT) — 5-Year Historical Credit Panel</t>
  </si>
  <si>
    <t>Source: SEC EDGAR 10-K filings 2020/2022/2024. All figures USD millions unless noted.</t>
  </si>
  <si>
    <t>Methodology: ME&amp;T (industrial) and Cat Financial (captive finance) tracked separately per credit best practice.</t>
  </si>
  <si>
    <t>FY2020</t>
  </si>
  <si>
    <t>FY2021</t>
  </si>
  <si>
    <t>FY2022</t>
  </si>
  <si>
    <t>FY2023</t>
  </si>
  <si>
    <t>FY2024</t>
  </si>
  <si>
    <t>Note / Source</t>
  </si>
  <si>
    <t>A.  INCOME STATEMENT</t>
  </si>
  <si>
    <t>Revenue (Total Sales &amp; Revenues)</t>
  </si>
  <si>
    <t>10-K Item 7 MD&amp;A</t>
  </si>
  <si>
    <t>Construction Industries</t>
  </si>
  <si>
    <t>10-K segment table</t>
  </si>
  <si>
    <t>Resource Industries</t>
  </si>
  <si>
    <t>Energy &amp; Transportation</t>
  </si>
  <si>
    <t>Financial Products</t>
  </si>
  <si>
    <t>external FP revenues</t>
  </si>
  <si>
    <t>Operating Profit</t>
  </si>
  <si>
    <t>10-K Item 7</t>
  </si>
  <si>
    <t>Operating Margin %</t>
  </si>
  <si>
    <t>calculated</t>
  </si>
  <si>
    <t>Depreciation &amp; Amortization</t>
  </si>
  <si>
    <t>10-K Cash Flow Statement</t>
  </si>
  <si>
    <t>EBITDA</t>
  </si>
  <si>
    <t>EBITDA Margin %</t>
  </si>
  <si>
    <t>Interest Expense — ME&amp;T (industrial only)</t>
  </si>
  <si>
    <t>excludes Cat Financial</t>
  </si>
  <si>
    <t>Net Income</t>
  </si>
  <si>
    <t>EPS Diluted</t>
  </si>
  <si>
    <t>B.  BALANCE SHEET (year-end)</t>
  </si>
  <si>
    <t>Cash &amp; Equivalents (enterprise)</t>
  </si>
  <si>
    <t>10-K MD&amp;A "enterprise cash"</t>
  </si>
  <si>
    <t>Total Debt (consolidated)</t>
  </si>
  <si>
    <t>10-K Item 6 / Item 7</t>
  </si>
  <si>
    <t>ME&amp;T Debt (industrial)</t>
  </si>
  <si>
    <t>10-K Item 6</t>
  </si>
  <si>
    <t>Cat Financial Debt</t>
  </si>
  <si>
    <t>Net Debt — consolidated</t>
  </si>
  <si>
    <t>Net Debt — ME&amp;T (industrial only)</t>
  </si>
  <si>
    <t>proxy: ME&amp;T debt − ent. cash</t>
  </si>
  <si>
    <t>Consolidated Net Worth (covenant calc)</t>
  </si>
  <si>
    <t>min $9bn per credit facility</t>
  </si>
  <si>
    <t>C.  CASH FLOW</t>
  </si>
  <si>
    <t>Operating Cash Flow (consolidated)</t>
  </si>
  <si>
    <t>10-K MD&amp;A</t>
  </si>
  <si>
    <t>Capital Expenditures (PPE + leased)</t>
  </si>
  <si>
    <t>10-K Item 6 (PPE + equip leased)</t>
  </si>
  <si>
    <t>FFO (= Net Income + D&amp;A)</t>
  </si>
  <si>
    <t>simplified FFO proxy</t>
  </si>
  <si>
    <t>D.  CREDIT RATIOS</t>
  </si>
  <si>
    <t>Net Debt / EBITDA — consolidated</t>
  </si>
  <si>
    <t>enterprise view</t>
  </si>
  <si>
    <t>Net Debt / EBITDA — ME&amp;T (industrial)</t>
  </si>
  <si>
    <t>industrial-only view</t>
  </si>
  <si>
    <t>EBITDA / Interest (ME&amp;T)</t>
  </si>
  <si>
    <t>industrial int. coverage</t>
  </si>
  <si>
    <t>FFO / Total Debt</t>
  </si>
  <si>
    <t>rating agency favorite</t>
  </si>
  <si>
    <t>E.  CAT FINANCIAL — CAPTIVE FINANCE CREDIT QUALITY</t>
  </si>
  <si>
    <t>30+ Days Past Due %</t>
  </si>
  <si>
    <t>10-K MD&amp;A — credit quality</t>
  </si>
  <si>
    <t>Leverage Ratio (year-end, covenant)</t>
  </si>
  <si>
    <t>n.r.</t>
  </si>
  <si>
    <t>covenant max 10.0x</t>
  </si>
  <si>
    <t>Interest Coverage (covenant)</t>
  </si>
  <si>
    <t>covenant min 1.15x</t>
  </si>
  <si>
    <t>F.  ORDER BACKLOG (forward demand signal)</t>
  </si>
  <si>
    <t>Order Backlog (year-end)</t>
  </si>
  <si>
    <t>10-K Item 1</t>
  </si>
  <si>
    <t>Backlog / Revenue (months coverage)</t>
  </si>
</sst>
</file>

<file path=xl/styles.xml><?xml version="1.0" encoding="utf-8"?>
<styleSheet xmlns="http://schemas.openxmlformats.org/spreadsheetml/2006/main">
  <numFmts count="5">
    <numFmt numFmtId="164" formatCode="#,##0;(#,##0);&quot;–&quot;"/>
    <numFmt numFmtId="165" formatCode="0.0%"/>
    <numFmt numFmtId="166" formatCode="$0.00"/>
    <numFmt numFmtId="167" formatCode="0.00&quot;x&quot;"/>
    <numFmt numFmtId="168" formatCode="0.0&quot; mo&quot;"/>
  </numFmts>
  <fonts count="7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rgb="FF59595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2E75B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indent="1"/>
    </xf>
    <xf numFmtId="164" fontId="5" fillId="0" borderId="0" xfId="0" applyNumberFormat="1" applyFont="1" applyAlignment="1">
      <alignment horizontal="right"/>
    </xf>
    <xf numFmtId="0" fontId="6" fillId="0" borderId="0" xfId="0" applyFont="1" applyAlignment="1">
      <alignment horizontal="left" indent="2"/>
    </xf>
    <xf numFmtId="0" fontId="5" fillId="0" borderId="0" xfId="0" applyFont="1" applyAlignment="1">
      <alignment horizontal="left" indent="1"/>
    </xf>
    <xf numFmtId="165" fontId="5" fillId="0" borderId="0" xfId="0" applyNumberFormat="1" applyFont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6" fontId="5" fillId="0" borderId="0" xfId="0" applyNumberFormat="1" applyFont="1" applyAlignment="1">
      <alignment horizontal="right"/>
    </xf>
    <xf numFmtId="167" fontId="5" fillId="0" borderId="0" xfId="0" applyNumberFormat="1" applyFont="1" applyAlignment="1">
      <alignment horizontal="right"/>
    </xf>
    <xf numFmtId="168" fontId="5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38.7109375" customWidth="1"/>
    <col min="2" max="6" width="13.7109375" customWidth="1"/>
    <col min="7" max="7" width="30.7109375" customWidth="1"/>
  </cols>
  <sheetData>
    <row r="1" spans="1:7" ht="22" customHeight="1">
      <c r="A1" s="1" t="s">
        <v>0</v>
      </c>
      <c r="B1" s="1"/>
      <c r="C1" s="1"/>
      <c r="D1" s="1"/>
      <c r="E1" s="1"/>
      <c r="F1" s="1"/>
    </row>
    <row r="2" spans="1:7">
      <c r="A2" s="2" t="s">
        <v>1</v>
      </c>
    </row>
    <row r="3" spans="1:7">
      <c r="A3" s="2" t="s">
        <v>2</v>
      </c>
    </row>
    <row r="5" spans="1:7">
      <c r="A5" s="3"/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6" spans="1:7">
      <c r="A6" s="4" t="s">
        <v>9</v>
      </c>
      <c r="B6" s="4"/>
      <c r="C6" s="4"/>
      <c r="D6" s="4"/>
      <c r="E6" s="4"/>
      <c r="F6" s="4"/>
      <c r="G6" s="4"/>
    </row>
    <row r="7" spans="1:7">
      <c r="A7" s="5" t="s">
        <v>10</v>
      </c>
      <c r="B7" s="6">
        <v>41748</v>
      </c>
      <c r="C7" s="6">
        <v>50971</v>
      </c>
      <c r="D7" s="6">
        <v>59427</v>
      </c>
      <c r="E7" s="6">
        <v>67060</v>
      </c>
      <c r="F7" s="6">
        <v>64809</v>
      </c>
      <c r="G7" s="2" t="s">
        <v>11</v>
      </c>
    </row>
    <row r="8" spans="1:7">
      <c r="A8" s="7" t="s">
        <v>12</v>
      </c>
      <c r="B8" s="6">
        <v>18650</v>
      </c>
      <c r="C8" s="6">
        <v>22106</v>
      </c>
      <c r="D8" s="6">
        <v>25269</v>
      </c>
      <c r="E8" s="6">
        <v>27418</v>
      </c>
      <c r="F8" s="6">
        <v>25455</v>
      </c>
      <c r="G8" s="2" t="s">
        <v>13</v>
      </c>
    </row>
    <row r="9" spans="1:7">
      <c r="A9" s="7" t="s">
        <v>14</v>
      </c>
      <c r="B9" s="6">
        <v>9020</v>
      </c>
      <c r="C9" s="6">
        <v>9810</v>
      </c>
      <c r="D9" s="6">
        <v>12314</v>
      </c>
      <c r="E9" s="6">
        <v>13583</v>
      </c>
      <c r="F9" s="6">
        <v>12389</v>
      </c>
      <c r="G9" s="2" t="s">
        <v>13</v>
      </c>
    </row>
    <row r="10" spans="1:7">
      <c r="A10" s="7" t="s">
        <v>15</v>
      </c>
      <c r="B10" s="6">
        <v>16554</v>
      </c>
      <c r="C10" s="6">
        <v>20287</v>
      </c>
      <c r="D10" s="6">
        <v>23752</v>
      </c>
      <c r="E10" s="6">
        <v>28001</v>
      </c>
      <c r="F10" s="6">
        <v>28854</v>
      </c>
      <c r="G10" s="2" t="s">
        <v>13</v>
      </c>
    </row>
    <row r="11" spans="1:7">
      <c r="A11" s="7" t="s">
        <v>16</v>
      </c>
      <c r="B11" s="6">
        <v>2726</v>
      </c>
      <c r="C11" s="6">
        <v>2783</v>
      </c>
      <c r="D11" s="6">
        <v>2853</v>
      </c>
      <c r="E11" s="6">
        <v>3191</v>
      </c>
      <c r="F11" s="6">
        <v>3446</v>
      </c>
      <c r="G11" s="2" t="s">
        <v>17</v>
      </c>
    </row>
    <row r="13" spans="1:7">
      <c r="A13" s="5" t="s">
        <v>18</v>
      </c>
      <c r="B13" s="6">
        <v>4553</v>
      </c>
      <c r="C13" s="6">
        <v>6881</v>
      </c>
      <c r="D13" s="6">
        <v>7904</v>
      </c>
      <c r="E13" s="6">
        <v>12943</v>
      </c>
      <c r="F13" s="6">
        <v>13072</v>
      </c>
      <c r="G13" s="2" t="s">
        <v>19</v>
      </c>
    </row>
    <row r="14" spans="1:7">
      <c r="A14" s="8" t="s">
        <v>20</v>
      </c>
      <c r="B14" s="9">
        <f>B13/B7</f>
        <v>0</v>
      </c>
      <c r="C14" s="9">
        <f>C13/C7</f>
        <v>0</v>
      </c>
      <c r="D14" s="9">
        <f>D13/D7</f>
        <v>0</v>
      </c>
      <c r="E14" s="9">
        <f>E13/E7</f>
        <v>0</v>
      </c>
      <c r="F14" s="9">
        <f>F13/F7</f>
        <v>0</v>
      </c>
      <c r="G14" s="2" t="s">
        <v>21</v>
      </c>
    </row>
    <row r="15" spans="1:7">
      <c r="A15" s="8" t="s">
        <v>22</v>
      </c>
      <c r="B15" s="6">
        <v>2432</v>
      </c>
      <c r="C15" s="6">
        <v>2305</v>
      </c>
      <c r="D15" s="6">
        <v>2247</v>
      </c>
      <c r="E15" s="6">
        <v>2247</v>
      </c>
      <c r="F15" s="6">
        <v>2331</v>
      </c>
      <c r="G15" s="2" t="s">
        <v>23</v>
      </c>
    </row>
    <row r="16" spans="1:7">
      <c r="A16" s="5" t="s">
        <v>24</v>
      </c>
      <c r="B16" s="10">
        <f>B13+B15</f>
        <v>0</v>
      </c>
      <c r="C16" s="10">
        <f>C13+C15</f>
        <v>0</v>
      </c>
      <c r="D16" s="10">
        <f>D13+D15</f>
        <v>0</v>
      </c>
      <c r="E16" s="10">
        <f>E13+E15</f>
        <v>0</v>
      </c>
      <c r="F16" s="10">
        <f>F13+F15</f>
        <v>0</v>
      </c>
      <c r="G16" s="2">
        <f> Op Profit + D&amp;A</f>
        <v>0</v>
      </c>
    </row>
    <row r="17" spans="1:7">
      <c r="A17" s="8" t="s">
        <v>25</v>
      </c>
      <c r="B17" s="9">
        <f>B16/B7</f>
        <v>0</v>
      </c>
      <c r="C17" s="9">
        <f>C16/C7</f>
        <v>0</v>
      </c>
      <c r="D17" s="9">
        <f>D16/D7</f>
        <v>0</v>
      </c>
      <c r="E17" s="9">
        <f>E16/E7</f>
        <v>0</v>
      </c>
      <c r="F17" s="9">
        <f>F16/F7</f>
        <v>0</v>
      </c>
      <c r="G17" s="2" t="s">
        <v>21</v>
      </c>
    </row>
    <row r="19" spans="1:7">
      <c r="A19" s="8" t="s">
        <v>26</v>
      </c>
      <c r="B19" s="6">
        <v>421</v>
      </c>
      <c r="C19" s="6">
        <v>502</v>
      </c>
      <c r="D19" s="6">
        <v>480</v>
      </c>
      <c r="E19" s="6">
        <v>511</v>
      </c>
      <c r="F19" s="6">
        <v>512</v>
      </c>
      <c r="G19" s="2" t="s">
        <v>27</v>
      </c>
    </row>
    <row r="20" spans="1:7">
      <c r="A20" s="5" t="s">
        <v>28</v>
      </c>
      <c r="B20" s="10">
        <v>2998</v>
      </c>
      <c r="C20" s="10">
        <v>6489</v>
      </c>
      <c r="D20" s="10">
        <v>6705</v>
      </c>
      <c r="E20" s="10">
        <v>10335</v>
      </c>
      <c r="F20" s="10">
        <v>10792</v>
      </c>
      <c r="G20" s="2" t="s">
        <v>19</v>
      </c>
    </row>
    <row r="21" spans="1:7">
      <c r="A21" s="8" t="s">
        <v>29</v>
      </c>
      <c r="B21" s="11">
        <v>5.46</v>
      </c>
      <c r="C21" s="11">
        <v>11.83</v>
      </c>
      <c r="D21" s="11">
        <v>12.64</v>
      </c>
      <c r="E21" s="11">
        <v>20.12</v>
      </c>
      <c r="F21" s="11">
        <v>22.05</v>
      </c>
      <c r="G21" s="2" t="s">
        <v>19</v>
      </c>
    </row>
    <row r="24" spans="1:7">
      <c r="A24" s="4" t="s">
        <v>30</v>
      </c>
      <c r="B24" s="4"/>
      <c r="C24" s="4"/>
      <c r="D24" s="4"/>
      <c r="E24" s="4"/>
      <c r="F24" s="4"/>
      <c r="G24" s="4"/>
    </row>
    <row r="25" spans="1:7">
      <c r="A25" s="5" t="s">
        <v>31</v>
      </c>
      <c r="B25" s="6">
        <v>9366</v>
      </c>
      <c r="C25" s="6">
        <v>9254</v>
      </c>
      <c r="D25" s="6">
        <v>7002</v>
      </c>
      <c r="E25" s="6">
        <v>6976</v>
      </c>
      <c r="F25" s="6">
        <v>6889</v>
      </c>
      <c r="G25" s="2" t="s">
        <v>32</v>
      </c>
    </row>
    <row r="26" spans="1:7">
      <c r="A26" s="5" t="s">
        <v>33</v>
      </c>
      <c r="B26" s="6">
        <v>37163</v>
      </c>
      <c r="C26" s="6">
        <v>36974</v>
      </c>
      <c r="D26" s="6">
        <v>35836</v>
      </c>
      <c r="E26" s="6">
        <v>37879</v>
      </c>
      <c r="F26" s="6">
        <v>38410</v>
      </c>
      <c r="G26" s="2" t="s">
        <v>34</v>
      </c>
    </row>
    <row r="27" spans="1:7">
      <c r="A27" s="7" t="s">
        <v>35</v>
      </c>
      <c r="B27" s="6">
        <v>11179</v>
      </c>
      <c r="C27" s="6">
        <v>9805</v>
      </c>
      <c r="D27" s="6">
        <v>9220</v>
      </c>
      <c r="E27" s="6">
        <v>9077</v>
      </c>
      <c r="F27" s="6">
        <v>8184</v>
      </c>
      <c r="G27" s="2" t="s">
        <v>36</v>
      </c>
    </row>
    <row r="28" spans="1:7">
      <c r="A28" s="7" t="s">
        <v>37</v>
      </c>
      <c r="B28" s="6">
        <v>25984</v>
      </c>
      <c r="C28" s="6">
        <v>27169</v>
      </c>
      <c r="D28" s="6">
        <v>26616</v>
      </c>
      <c r="E28" s="6">
        <v>28802</v>
      </c>
      <c r="F28" s="6">
        <v>30226</v>
      </c>
      <c r="G28" s="2" t="s">
        <v>36</v>
      </c>
    </row>
    <row r="30" spans="1:7">
      <c r="A30" s="5" t="s">
        <v>38</v>
      </c>
      <c r="B30" s="10">
        <f>B26-B25</f>
        <v>0</v>
      </c>
      <c r="C30" s="10">
        <f>C26-C25</f>
        <v>0</v>
      </c>
      <c r="D30" s="10">
        <f>D26-D25</f>
        <v>0</v>
      </c>
      <c r="E30" s="10">
        <f>E26-E25</f>
        <v>0</v>
      </c>
      <c r="F30" s="10">
        <f>F26-F25</f>
        <v>0</v>
      </c>
      <c r="G30" s="2">
        <f> Total Debt − Cash</f>
        <v>0</v>
      </c>
    </row>
    <row r="31" spans="1:7">
      <c r="A31" s="8" t="s">
        <v>39</v>
      </c>
      <c r="B31" s="6">
        <f>B27-B25</f>
        <v>0</v>
      </c>
      <c r="C31" s="6">
        <f>C27-C25</f>
        <v>0</v>
      </c>
      <c r="D31" s="6">
        <f>D27-D25</f>
        <v>0</v>
      </c>
      <c r="E31" s="6">
        <f>E27-E25</f>
        <v>0</v>
      </c>
      <c r="F31" s="6">
        <f>F27-F25</f>
        <v>0</v>
      </c>
      <c r="G31" s="2" t="s">
        <v>40</v>
      </c>
    </row>
    <row r="33" spans="1:7">
      <c r="A33" s="8" t="s">
        <v>41</v>
      </c>
      <c r="B33" s="6">
        <v>15410</v>
      </c>
      <c r="C33" s="6">
        <v>16310</v>
      </c>
      <c r="D33" s="6">
        <v>15930</v>
      </c>
      <c r="E33" s="6">
        <v>18610</v>
      </c>
      <c r="F33" s="6">
        <v>19560</v>
      </c>
      <c r="G33" s="2" t="s">
        <v>42</v>
      </c>
    </row>
    <row r="36" spans="1:7">
      <c r="A36" s="4" t="s">
        <v>43</v>
      </c>
      <c r="B36" s="4"/>
      <c r="C36" s="4"/>
      <c r="D36" s="4"/>
      <c r="E36" s="4"/>
      <c r="F36" s="4"/>
      <c r="G36" s="4"/>
    </row>
    <row r="37" spans="1:7">
      <c r="A37" s="5" t="s">
        <v>44</v>
      </c>
      <c r="B37" s="6">
        <v>6300</v>
      </c>
      <c r="C37" s="6">
        <v>7800</v>
      </c>
      <c r="D37" s="6">
        <v>7800</v>
      </c>
      <c r="E37" s="6">
        <v>12890</v>
      </c>
      <c r="F37" s="6">
        <v>12040</v>
      </c>
      <c r="G37" s="2" t="s">
        <v>45</v>
      </c>
    </row>
    <row r="38" spans="1:7">
      <c r="A38" s="8" t="s">
        <v>46</v>
      </c>
      <c r="B38" s="6">
        <v>2115</v>
      </c>
      <c r="C38" s="6">
        <v>2073</v>
      </c>
      <c r="D38" s="6">
        <v>2706</v>
      </c>
      <c r="E38" s="6">
        <v>3344</v>
      </c>
      <c r="F38" s="6">
        <v>3902</v>
      </c>
      <c r="G38" s="2" t="s">
        <v>47</v>
      </c>
    </row>
    <row r="39" spans="1:7">
      <c r="A39" s="5" t="s">
        <v>48</v>
      </c>
      <c r="B39" s="10">
        <f>B20+B15</f>
        <v>0</v>
      </c>
      <c r="C39" s="10">
        <f>C20+C15</f>
        <v>0</v>
      </c>
      <c r="D39" s="10">
        <f>D20+D15</f>
        <v>0</v>
      </c>
      <c r="E39" s="10">
        <f>E20+E15</f>
        <v>0</v>
      </c>
      <c r="F39" s="10">
        <f>F20+F15</f>
        <v>0</v>
      </c>
      <c r="G39" s="2" t="s">
        <v>49</v>
      </c>
    </row>
    <row r="42" spans="1:7">
      <c r="A42" s="4" t="s">
        <v>50</v>
      </c>
      <c r="B42" s="4"/>
      <c r="C42" s="4"/>
      <c r="D42" s="4"/>
      <c r="E42" s="4"/>
      <c r="F42" s="4"/>
      <c r="G42" s="4"/>
    </row>
    <row r="43" spans="1:7">
      <c r="A43" s="5" t="s">
        <v>51</v>
      </c>
      <c r="B43" s="12">
        <f>B30/B16</f>
        <v>0</v>
      </c>
      <c r="C43" s="12">
        <f>C30/C16</f>
        <v>0</v>
      </c>
      <c r="D43" s="12">
        <f>D30/D16</f>
        <v>0</v>
      </c>
      <c r="E43" s="12">
        <f>E30/E16</f>
        <v>0</v>
      </c>
      <c r="F43" s="12">
        <f>F30/F16</f>
        <v>0</v>
      </c>
      <c r="G43" s="2" t="s">
        <v>52</v>
      </c>
    </row>
    <row r="44" spans="1:7">
      <c r="A44" s="8" t="s">
        <v>53</v>
      </c>
      <c r="B44" s="12">
        <f>B31/B16</f>
        <v>0</v>
      </c>
      <c r="C44" s="12">
        <f>C31/C16</f>
        <v>0</v>
      </c>
      <c r="D44" s="12">
        <f>D31/D16</f>
        <v>0</v>
      </c>
      <c r="E44" s="12">
        <f>E31/E16</f>
        <v>0</v>
      </c>
      <c r="F44" s="12">
        <f>F31/F16</f>
        <v>0</v>
      </c>
      <c r="G44" s="2" t="s">
        <v>54</v>
      </c>
    </row>
    <row r="46" spans="1:7">
      <c r="A46" s="5" t="s">
        <v>55</v>
      </c>
      <c r="B46" s="12">
        <f>B16/B19</f>
        <v>0</v>
      </c>
      <c r="C46" s="12">
        <f>C16/C19</f>
        <v>0</v>
      </c>
      <c r="D46" s="12">
        <f>D16/D19</f>
        <v>0</v>
      </c>
      <c r="E46" s="12">
        <f>E16/E19</f>
        <v>0</v>
      </c>
      <c r="F46" s="12">
        <f>F16/F19</f>
        <v>0</v>
      </c>
      <c r="G46" s="2" t="s">
        <v>56</v>
      </c>
    </row>
    <row r="48" spans="1:7">
      <c r="A48" s="5" t="s">
        <v>57</v>
      </c>
      <c r="B48" s="9">
        <f>B39/B26</f>
        <v>0</v>
      </c>
      <c r="C48" s="9">
        <f>C39/C26</f>
        <v>0</v>
      </c>
      <c r="D48" s="9">
        <f>D39/D26</f>
        <v>0</v>
      </c>
      <c r="E48" s="9">
        <f>E39/E26</f>
        <v>0</v>
      </c>
      <c r="F48" s="9">
        <f>F39/F26</f>
        <v>0</v>
      </c>
      <c r="G48" s="2" t="s">
        <v>58</v>
      </c>
    </row>
    <row r="51" spans="1:7">
      <c r="A51" s="4" t="s">
        <v>59</v>
      </c>
      <c r="B51" s="4"/>
      <c r="C51" s="4"/>
      <c r="D51" s="4"/>
      <c r="E51" s="4"/>
      <c r="F51" s="4"/>
      <c r="G51" s="4"/>
    </row>
    <row r="52" spans="1:7">
      <c r="A52" s="8" t="s">
        <v>60</v>
      </c>
      <c r="B52" s="9">
        <v>0.0245</v>
      </c>
      <c r="C52" s="9">
        <v>0.0195</v>
      </c>
      <c r="D52" s="9">
        <v>0.0189</v>
      </c>
      <c r="E52" s="9">
        <v>0.0143</v>
      </c>
      <c r="F52" s="9">
        <v>0.0141</v>
      </c>
      <c r="G52" s="2" t="s">
        <v>61</v>
      </c>
    </row>
    <row r="53" spans="1:7">
      <c r="A53" s="8" t="s">
        <v>62</v>
      </c>
      <c r="B53" s="12">
        <v>6.95</v>
      </c>
      <c r="C53" s="8" t="s">
        <v>63</v>
      </c>
      <c r="D53" s="12">
        <v>7.21</v>
      </c>
      <c r="E53" s="8" t="s">
        <v>63</v>
      </c>
      <c r="F53" s="12">
        <v>7.37</v>
      </c>
      <c r="G53" s="2" t="s">
        <v>64</v>
      </c>
    </row>
    <row r="54" spans="1:7">
      <c r="A54" s="8" t="s">
        <v>65</v>
      </c>
      <c r="B54" s="12">
        <v>1.72</v>
      </c>
      <c r="C54" s="8" t="s">
        <v>63</v>
      </c>
      <c r="D54" s="12">
        <v>2.36</v>
      </c>
      <c r="E54" s="8" t="s">
        <v>63</v>
      </c>
      <c r="F54" s="12">
        <v>1.41</v>
      </c>
      <c r="G54" s="2" t="s">
        <v>66</v>
      </c>
    </row>
    <row r="57" spans="1:7">
      <c r="A57" s="4" t="s">
        <v>67</v>
      </c>
      <c r="B57" s="4"/>
      <c r="C57" s="4"/>
      <c r="D57" s="4"/>
      <c r="E57" s="4"/>
      <c r="F57" s="4"/>
      <c r="G57" s="4"/>
    </row>
    <row r="58" spans="1:7">
      <c r="A58" s="5" t="s">
        <v>68</v>
      </c>
      <c r="B58" s="6">
        <v>14200</v>
      </c>
      <c r="C58" s="6">
        <v>23100</v>
      </c>
      <c r="D58" s="6">
        <v>30400</v>
      </c>
      <c r="E58" s="6">
        <v>27500</v>
      </c>
      <c r="F58" s="6">
        <v>30000</v>
      </c>
      <c r="G58" s="2" t="s">
        <v>69</v>
      </c>
    </row>
    <row r="59" spans="1:7">
      <c r="A59" s="8" t="s">
        <v>70</v>
      </c>
      <c r="B59" s="13">
        <f>B58/B7*12</f>
        <v>0</v>
      </c>
      <c r="C59" s="13">
        <f>C58/C7*12</f>
        <v>0</v>
      </c>
      <c r="D59" s="13">
        <f>D58/D7*12</f>
        <v>0</v>
      </c>
      <c r="E59" s="13">
        <f>E58/E7*12</f>
        <v>0</v>
      </c>
      <c r="F59" s="13">
        <f>F58/F7*12</f>
        <v>0</v>
      </c>
      <c r="G59" s="2">
        <f> backlog / annual rev × 12</f>
        <v>0</v>
      </c>
    </row>
  </sheetData>
  <mergeCells count="7">
    <mergeCell ref="A1:F1"/>
    <mergeCell ref="A6:G6"/>
    <mergeCell ref="A24:G24"/>
    <mergeCell ref="A36:G36"/>
    <mergeCell ref="A42:G42"/>
    <mergeCell ref="A51:G51"/>
    <mergeCell ref="A57:G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2026-05-23T04:49:31Z</dcterms:created>
  <dcterms:modified xsi:type="dcterms:W3CDTF">2026-05-23T04:49:31Z</dcterms:modified>
</cp:coreProperties>
</file>